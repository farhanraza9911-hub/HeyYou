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 iterate="1"/>
</workbook>
</file>

<file path=xl/calcChain.xml><?xml version="1.0" encoding="utf-8"?>
<calcChain xmlns="http://schemas.openxmlformats.org/spreadsheetml/2006/main">
  <c r="L21" i="1" l="1"/>
  <c r="E6" i="1"/>
  <c r="N24" i="1"/>
  <c r="F9" i="1"/>
  <c r="G8" i="1"/>
  <c r="G7" i="1"/>
</calcChain>
</file>

<file path=xl/sharedStrings.xml><?xml version="1.0" encoding="utf-8"?>
<sst xmlns="http://schemas.openxmlformats.org/spreadsheetml/2006/main" count="28" uniqueCount="21">
  <si>
    <t>CROVER MALIK FAHAD</t>
  </si>
  <si>
    <t>OIL CUSTOMER</t>
  </si>
  <si>
    <t>NET SALE</t>
  </si>
  <si>
    <t>TP</t>
  </si>
  <si>
    <t>PMS</t>
  </si>
  <si>
    <t>AC</t>
  </si>
  <si>
    <t>BATTERIES</t>
  </si>
  <si>
    <t>ENGINE FOAM</t>
  </si>
  <si>
    <t>AF</t>
  </si>
  <si>
    <t>CAF</t>
  </si>
  <si>
    <t>BS</t>
  </si>
  <si>
    <t>TS</t>
  </si>
  <si>
    <t>FI</t>
  </si>
  <si>
    <t>PS</t>
  </si>
  <si>
    <t>CL</t>
  </si>
  <si>
    <t>DAILY TARGET</t>
  </si>
  <si>
    <t>OC</t>
  </si>
  <si>
    <t>SALE</t>
  </si>
  <si>
    <t>MONTHLY TARGET</t>
  </si>
  <si>
    <t xml:space="preserve">      %</t>
  </si>
  <si>
    <t>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</si>
</sst>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9" tint="0.7999816888943144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1" xfId="0" applyFill="1" applyBorder="1"/>
    <xf numFmtId="0" fontId="0" fillId="4" borderId="0" xfId="0" applyFill="1" applyBorder="1"/>
    <xf numFmtId="0" fontId="0" fillId="4" borderId="6" xfId="0" applyFill="1" applyBorder="1"/>
    <xf numFmtId="0" fontId="0" fillId="4" borderId="2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5" borderId="1" xfId="0" applyFill="1" applyBorder="1"/>
    <xf numFmtId="0" fontId="0" fillId="6" borderId="1" xfId="0" applyFill="1" applyBorder="1"/>
    <xf numFmtId="0" fontId="0" fillId="9" borderId="1" xfId="0" applyFill="1" applyBorder="1"/>
    <xf numFmtId="0" fontId="0" fillId="7" borderId="4" xfId="0" applyFill="1" applyBorder="1" applyAlignment="1"/>
    <xf numFmtId="0" fontId="0" fillId="7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7" borderId="1" xfId="0" applyFill="1" applyBorder="1"/>
    <xf numFmtId="0" fontId="0" fillId="8" borderId="1" xfId="0" applyFill="1" applyBorder="1"/>
    <xf numFmtId="0" fontId="0" fillId="18" borderId="1" xfId="0" applyFill="1" applyBorder="1"/>
    <xf numFmtId="0" fontId="0" fillId="20" borderId="1" xfId="0" applyFill="1" applyBorder="1"/>
    <xf numFmtId="14" fontId="0" fillId="4" borderId="0" xfId="0" applyNumberFormat="1" applyFill="1" applyBorder="1"/>
    <xf numFmtId="0" fontId="0" fillId="11" borderId="1" xfId="0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17" borderId="3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3" borderId="5" xfId="0" applyNumberFormat="1" applyFill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3" fillId="15" borderId="4" xfId="0" applyFont="1" applyFill="1" applyBorder="1" applyAlignment="1">
      <alignment horizontal="center"/>
    </xf>
    <xf numFmtId="0" fontId="3" fillId="16" borderId="3" xfId="0" applyFont="1" applyFill="1" applyBorder="1" applyAlignment="1">
      <alignment horizontal="center"/>
    </xf>
    <xf numFmtId="0" fontId="3" fillId="16" borderId="4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15" borderId="1" xfId="0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0" fillId="16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30"/>
  <sheetViews>
    <sheetView tabSelected="1" topLeftCell="A3" workbookViewId="0">
      <selection activeCell="H10" sqref="H10"/>
    </sheetView>
  </sheetViews>
  <sheetFormatPr defaultRowHeight="15" x14ac:dyDescent="0.25"/>
  <cols>
    <col min="5" max="5" width="18.42578125" customWidth="1"/>
  </cols>
  <sheetData>
    <row r="2" spans="3:15" x14ac:dyDescent="0.25"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3:15" x14ac:dyDescent="0.25">
      <c r="C3" s="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7"/>
    </row>
    <row r="4" spans="3:15" x14ac:dyDescent="0.25">
      <c r="C4" s="6"/>
      <c r="D4" s="2"/>
      <c r="E4" s="44" t="s">
        <v>0</v>
      </c>
      <c r="F4" s="29"/>
      <c r="G4" s="29"/>
      <c r="H4" s="2"/>
      <c r="I4" s="2"/>
      <c r="J4" s="2"/>
      <c r="K4" s="2"/>
      <c r="L4" s="25" t="s">
        <v>15</v>
      </c>
      <c r="M4" s="25"/>
      <c r="N4" s="25"/>
      <c r="O4" s="7"/>
    </row>
    <row r="5" spans="3:15" x14ac:dyDescent="0.25">
      <c r="C5" s="6"/>
      <c r="D5" s="2"/>
      <c r="E5" s="29"/>
      <c r="F5" s="29"/>
      <c r="G5" s="29"/>
      <c r="H5" s="2"/>
      <c r="I5" s="2"/>
      <c r="J5" s="2"/>
      <c r="K5" s="2"/>
      <c r="L5" s="34"/>
      <c r="M5" s="34"/>
      <c r="N5" s="34"/>
      <c r="O5" s="7"/>
    </row>
    <row r="6" spans="3:15" x14ac:dyDescent="0.25">
      <c r="C6" s="6"/>
      <c r="D6" s="2"/>
      <c r="E6" s="46">
        <f ca="1">IF(F8&lt;&gt;"",IF(EF3&lt;&gt;"",EF6,NOW()),"")</f>
        <v>44936.427909722224</v>
      </c>
      <c r="F6" s="47"/>
      <c r="G6" s="14" t="s">
        <v>19</v>
      </c>
      <c r="H6" s="2"/>
      <c r="I6" s="2"/>
      <c r="J6" s="2"/>
      <c r="K6" s="2"/>
      <c r="L6" s="18" t="s">
        <v>16</v>
      </c>
      <c r="M6" s="38">
        <v>3683</v>
      </c>
      <c r="N6" s="39"/>
      <c r="O6" s="7"/>
    </row>
    <row r="7" spans="3:15" x14ac:dyDescent="0.25">
      <c r="C7" s="6"/>
      <c r="D7" s="2"/>
      <c r="E7" s="22" t="s">
        <v>1</v>
      </c>
      <c r="F7" s="22">
        <v>2</v>
      </c>
      <c r="G7" s="15">
        <f>(F7/M7*100)</f>
        <v>11.111111111111111</v>
      </c>
      <c r="H7" s="24"/>
      <c r="I7" s="2"/>
      <c r="J7" s="2"/>
      <c r="K7" s="2"/>
      <c r="L7" s="11" t="s">
        <v>17</v>
      </c>
      <c r="M7" s="40">
        <v>18</v>
      </c>
      <c r="N7" s="41"/>
      <c r="O7" s="7"/>
    </row>
    <row r="8" spans="3:15" x14ac:dyDescent="0.25">
      <c r="C8" s="6"/>
      <c r="D8" s="2"/>
      <c r="E8" s="13" t="s">
        <v>2</v>
      </c>
      <c r="F8" s="13">
        <v>222</v>
      </c>
      <c r="G8" s="15">
        <f>(F8/M6*100)</f>
        <v>6.0276948140103173</v>
      </c>
      <c r="H8" s="2"/>
      <c r="I8" s="2"/>
      <c r="J8" s="2"/>
      <c r="K8" s="2"/>
      <c r="L8" s="2"/>
      <c r="M8" s="2"/>
      <c r="N8" s="2"/>
      <c r="O8" s="7"/>
    </row>
    <row r="9" spans="3:15" x14ac:dyDescent="0.25">
      <c r="C9" s="6"/>
      <c r="D9" s="2"/>
      <c r="E9" s="19" t="s">
        <v>3</v>
      </c>
      <c r="F9" s="19">
        <f>(F8/F7)</f>
        <v>111</v>
      </c>
      <c r="G9" s="15"/>
      <c r="H9" s="2"/>
      <c r="I9" s="2"/>
      <c r="J9" s="2"/>
      <c r="K9" s="2"/>
      <c r="L9" s="35" t="s">
        <v>18</v>
      </c>
      <c r="M9" s="35"/>
      <c r="N9" s="35"/>
      <c r="O9" s="7"/>
    </row>
    <row r="10" spans="3:15" x14ac:dyDescent="0.25">
      <c r="C10" s="6"/>
      <c r="D10" s="2"/>
      <c r="E10" s="34"/>
      <c r="F10" s="34"/>
      <c r="G10" s="34"/>
      <c r="H10" s="2"/>
      <c r="I10" s="2"/>
      <c r="J10" s="2"/>
      <c r="K10" s="2"/>
      <c r="L10" s="34"/>
      <c r="M10" s="34"/>
      <c r="N10" s="34"/>
      <c r="O10" s="7"/>
    </row>
    <row r="11" spans="3:15" x14ac:dyDescent="0.25">
      <c r="C11" s="6"/>
      <c r="D11" s="2"/>
      <c r="E11" s="11" t="s">
        <v>4</v>
      </c>
      <c r="F11" s="45"/>
      <c r="G11" s="45"/>
      <c r="H11" s="2"/>
      <c r="I11" s="2"/>
      <c r="J11" s="2"/>
      <c r="K11" s="2"/>
      <c r="L11" s="17" t="s">
        <v>16</v>
      </c>
      <c r="M11" s="36">
        <v>550</v>
      </c>
      <c r="N11" s="37"/>
      <c r="O11" s="7"/>
    </row>
    <row r="12" spans="3:15" x14ac:dyDescent="0.25">
      <c r="C12" s="6"/>
      <c r="D12" s="2"/>
      <c r="E12" s="21" t="s">
        <v>5</v>
      </c>
      <c r="F12" s="30"/>
      <c r="G12" s="30"/>
      <c r="H12" s="2"/>
      <c r="I12" s="2"/>
      <c r="J12" s="2"/>
      <c r="K12" s="2"/>
      <c r="L12" s="20" t="s">
        <v>17</v>
      </c>
      <c r="M12" s="42">
        <v>110500</v>
      </c>
      <c r="N12" s="43"/>
      <c r="O12" s="7"/>
    </row>
    <row r="13" spans="3:15" x14ac:dyDescent="0.25">
      <c r="C13" s="6"/>
      <c r="D13" s="2"/>
      <c r="E13" s="11" t="s">
        <v>7</v>
      </c>
      <c r="F13" s="45"/>
      <c r="G13" s="45"/>
      <c r="H13" s="2"/>
      <c r="I13" s="2"/>
      <c r="J13" s="2"/>
      <c r="K13" s="2"/>
      <c r="L13" s="2"/>
      <c r="M13" s="2"/>
      <c r="N13" s="2"/>
      <c r="O13" s="7"/>
    </row>
    <row r="14" spans="3:15" x14ac:dyDescent="0.25">
      <c r="C14" s="6"/>
      <c r="D14" s="2"/>
      <c r="E14" s="21" t="s">
        <v>6</v>
      </c>
      <c r="F14" s="55"/>
      <c r="G14" s="56"/>
      <c r="H14" s="2"/>
      <c r="I14" s="2"/>
      <c r="J14" s="2"/>
      <c r="K14" s="2"/>
      <c r="L14" s="2"/>
      <c r="M14" s="2"/>
      <c r="N14" s="2"/>
      <c r="O14" s="7"/>
    </row>
    <row r="15" spans="3:15" x14ac:dyDescent="0.25">
      <c r="C15" s="6"/>
      <c r="D15" s="2"/>
      <c r="E15" s="52"/>
      <c r="F15" s="53"/>
      <c r="G15" s="54"/>
      <c r="H15" s="2"/>
      <c r="I15" s="2"/>
      <c r="J15" s="2"/>
      <c r="K15" s="2"/>
      <c r="L15" s="2"/>
      <c r="M15" s="2"/>
      <c r="N15" s="2"/>
      <c r="O15" s="7"/>
    </row>
    <row r="16" spans="3:15" x14ac:dyDescent="0.25">
      <c r="C16" s="6"/>
      <c r="D16" s="2"/>
      <c r="E16" s="57" t="s">
        <v>8</v>
      </c>
      <c r="F16" s="48"/>
      <c r="G16" s="49"/>
      <c r="H16" s="2"/>
      <c r="I16" s="2"/>
      <c r="J16" s="2"/>
      <c r="K16" s="2"/>
      <c r="L16" s="2"/>
      <c r="M16" s="2"/>
      <c r="N16" s="2"/>
      <c r="O16" s="7"/>
    </row>
    <row r="17" spans="3:15" x14ac:dyDescent="0.25">
      <c r="C17" s="6"/>
      <c r="D17" s="2"/>
      <c r="E17" s="58" t="s">
        <v>9</v>
      </c>
      <c r="F17" s="50"/>
      <c r="G17" s="51"/>
      <c r="H17" s="2"/>
      <c r="I17" s="2"/>
      <c r="J17" s="2"/>
      <c r="K17" s="2"/>
      <c r="L17" s="2"/>
      <c r="M17" s="2"/>
      <c r="N17" s="2"/>
      <c r="O17" s="7"/>
    </row>
    <row r="18" spans="3:15" x14ac:dyDescent="0.25">
      <c r="C18" s="6"/>
      <c r="D18" s="2"/>
      <c r="E18" s="57" t="s">
        <v>10</v>
      </c>
      <c r="F18" s="48"/>
      <c r="G18" s="49"/>
      <c r="H18" s="2"/>
      <c r="I18" s="2"/>
      <c r="J18" s="2"/>
      <c r="K18" s="2"/>
      <c r="L18" s="2"/>
      <c r="M18" s="2"/>
      <c r="N18" s="2"/>
      <c r="O18" s="7"/>
    </row>
    <row r="19" spans="3:15" x14ac:dyDescent="0.25">
      <c r="C19" s="6"/>
      <c r="D19" s="2"/>
      <c r="E19" s="58" t="s">
        <v>11</v>
      </c>
      <c r="F19" s="50"/>
      <c r="G19" s="51"/>
      <c r="H19" s="2"/>
      <c r="I19" s="2"/>
      <c r="J19" s="2"/>
      <c r="K19" s="2"/>
      <c r="L19" s="26" t="s">
        <v>0</v>
      </c>
      <c r="M19" s="27"/>
      <c r="N19" s="27"/>
      <c r="O19" s="7"/>
    </row>
    <row r="20" spans="3:15" x14ac:dyDescent="0.25">
      <c r="C20" s="6"/>
      <c r="D20" s="2"/>
      <c r="E20" s="57" t="s">
        <v>12</v>
      </c>
      <c r="F20" s="48"/>
      <c r="G20" s="49"/>
      <c r="H20" s="2"/>
      <c r="I20" s="2"/>
      <c r="J20" s="2"/>
      <c r="K20" s="2"/>
      <c r="L20" s="27"/>
      <c r="M20" s="27"/>
      <c r="N20" s="27"/>
      <c r="O20" s="7"/>
    </row>
    <row r="21" spans="3:15" x14ac:dyDescent="0.25">
      <c r="C21" s="6"/>
      <c r="D21" s="2"/>
      <c r="E21" s="58" t="s">
        <v>13</v>
      </c>
      <c r="F21" s="50"/>
      <c r="G21" s="51"/>
      <c r="H21" s="2"/>
      <c r="I21" s="2"/>
      <c r="J21" s="2"/>
      <c r="K21" s="2"/>
      <c r="L21" s="28">
        <f ca="1">IF(F8&lt;&gt;"",IF(LMN3&lt;&gt;"",LMN6,NOW()),"")</f>
        <v>44936.427909722224</v>
      </c>
      <c r="M21" s="28"/>
      <c r="N21" s="28"/>
      <c r="O21" s="7"/>
    </row>
    <row r="22" spans="3:15" x14ac:dyDescent="0.25">
      <c r="C22" s="6"/>
      <c r="D22" s="2"/>
      <c r="E22" s="57" t="s">
        <v>14</v>
      </c>
      <c r="F22" s="33"/>
      <c r="G22" s="33"/>
      <c r="H22" s="2"/>
      <c r="I22" s="2"/>
      <c r="J22" s="2"/>
      <c r="K22" s="2"/>
      <c r="L22" s="29" t="s">
        <v>16</v>
      </c>
      <c r="M22" s="29"/>
      <c r="N22" s="12">
        <v>2</v>
      </c>
      <c r="O22" s="7"/>
    </row>
    <row r="23" spans="3:15" x14ac:dyDescent="0.25">
      <c r="C23" s="6"/>
      <c r="D23" s="2"/>
      <c r="E23" s="59"/>
      <c r="F23" s="60"/>
      <c r="G23" s="60"/>
      <c r="H23" s="2"/>
      <c r="I23" s="2"/>
      <c r="J23" s="2"/>
      <c r="K23" s="2"/>
      <c r="L23" s="30" t="s">
        <v>17</v>
      </c>
      <c r="M23" s="30"/>
      <c r="N23" s="21">
        <v>500</v>
      </c>
      <c r="O23" s="7"/>
    </row>
    <row r="24" spans="3:15" x14ac:dyDescent="0.25">
      <c r="C24" s="6"/>
      <c r="D24" s="2"/>
      <c r="E24" s="61"/>
      <c r="F24" s="62"/>
      <c r="G24" s="62"/>
      <c r="H24" s="2"/>
      <c r="I24" s="2"/>
      <c r="J24" s="2"/>
      <c r="K24" s="2"/>
      <c r="L24" s="31" t="s">
        <v>3</v>
      </c>
      <c r="M24" s="31"/>
      <c r="N24" s="23">
        <f>(N23/N22)</f>
        <v>250</v>
      </c>
      <c r="O24" s="7"/>
    </row>
    <row r="25" spans="3:15" x14ac:dyDescent="0.25">
      <c r="C25" s="6"/>
      <c r="D25" s="2"/>
      <c r="E25" s="2"/>
      <c r="F25" s="2"/>
      <c r="G25" s="2"/>
      <c r="H25" s="2"/>
      <c r="I25" s="2"/>
      <c r="J25" s="2"/>
      <c r="K25" s="2"/>
      <c r="L25" s="32" t="s">
        <v>20</v>
      </c>
      <c r="M25" s="32"/>
      <c r="N25" s="1"/>
      <c r="O25" s="7"/>
    </row>
    <row r="26" spans="3:15" x14ac:dyDescent="0.25">
      <c r="C26" s="6"/>
      <c r="D26" s="2"/>
      <c r="E26" s="2"/>
      <c r="F26" s="2"/>
      <c r="G26" s="2"/>
      <c r="H26" s="2"/>
      <c r="I26" s="2"/>
      <c r="J26" s="2"/>
      <c r="K26" s="2"/>
      <c r="L26" s="25" t="s">
        <v>4</v>
      </c>
      <c r="M26" s="25"/>
      <c r="N26" s="16"/>
      <c r="O26" s="7"/>
    </row>
    <row r="27" spans="3:15" x14ac:dyDescent="0.25">
      <c r="C27" s="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7"/>
    </row>
    <row r="28" spans="3:15" x14ac:dyDescent="0.25">
      <c r="C28" s="6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7"/>
    </row>
    <row r="29" spans="3:15" x14ac:dyDescent="0.25">
      <c r="C29" s="6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7"/>
    </row>
    <row r="30" spans="3:15" x14ac:dyDescent="0.25">
      <c r="C30" s="8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</row>
  </sheetData>
  <mergeCells count="32">
    <mergeCell ref="F14:G14"/>
    <mergeCell ref="E6:F6"/>
    <mergeCell ref="F23:G23"/>
    <mergeCell ref="F24:G24"/>
    <mergeCell ref="E4:G5"/>
    <mergeCell ref="E10:G10"/>
    <mergeCell ref="F11:G11"/>
    <mergeCell ref="F12:G12"/>
    <mergeCell ref="F13:G13"/>
    <mergeCell ref="F21:G21"/>
    <mergeCell ref="F22:G22"/>
    <mergeCell ref="L4:N4"/>
    <mergeCell ref="L5:N5"/>
    <mergeCell ref="L9:N9"/>
    <mergeCell ref="L10:N10"/>
    <mergeCell ref="M11:N11"/>
    <mergeCell ref="M6:N6"/>
    <mergeCell ref="M7:N7"/>
    <mergeCell ref="M12:N12"/>
    <mergeCell ref="E15:G15"/>
    <mergeCell ref="F16:G16"/>
    <mergeCell ref="F17:G17"/>
    <mergeCell ref="F18:G18"/>
    <mergeCell ref="F19:G19"/>
    <mergeCell ref="F20:G20"/>
    <mergeCell ref="L26:M26"/>
    <mergeCell ref="L19:N20"/>
    <mergeCell ref="L21:N21"/>
    <mergeCell ref="L22:M22"/>
    <mergeCell ref="L23:M23"/>
    <mergeCell ref="L24:M24"/>
    <mergeCell ref="L25:M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RAZA</dc:creator>
  <cp:lastModifiedBy>FARHAN RAZA</cp:lastModifiedBy>
  <dcterms:created xsi:type="dcterms:W3CDTF">2023-01-10T17:03:09Z</dcterms:created>
  <dcterms:modified xsi:type="dcterms:W3CDTF">2023-01-10T18:16:53Z</dcterms:modified>
</cp:coreProperties>
</file>